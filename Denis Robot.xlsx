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d5bd86d3906b59/Documents/GitHub/denis-robot/"/>
    </mc:Choice>
  </mc:AlternateContent>
  <xr:revisionPtr revIDLastSave="24" documentId="8_{765FE789-A39F-400E-91D1-04A3BF518648}" xr6:coauthVersionLast="47" xr6:coauthVersionMax="47" xr10:uidLastSave="{D4262964-E8B5-4895-B47C-D1B8B1F19E4A}"/>
  <bookViews>
    <workbookView xWindow="33720" yWindow="-120" windowWidth="29040" windowHeight="15720" activeTab="2" xr2:uid="{23D6A8CF-57FE-4A34-BA04-D39890A7F850}"/>
  </bookViews>
  <sheets>
    <sheet name="Commands" sheetId="5" r:id="rId1"/>
    <sheet name="Ordinals-EN" sheetId="4" r:id="rId2"/>
    <sheet name="Utilities" sheetId="6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Character" xml:space="preserve"> _xlfn.LAMBDA(_xlpm.text,_xlop.spill_down,_xlop.chunk_size, _xlfn.LET(    _xlpm.\\LambdaName, "Characters",    _xlpm._ChunkSize, IF(_xlpm.chunk_size = 0, 1, _xlpm.chunk_size),    _xlpm._Pattern, "(\X{" &amp; _xlpm._ChunkSize &amp; "})",    _xlpm._Characters, _xlfn.REGEXEXTRACT(_xlpm.text, _xlpm._Pattern, 1),    _xlpm._Transpose, IF(_xlfn.ISOMITTED(_xlpm.spill_down), FALSE, _xlpm.spill_down),    _xlpm._Result, IF(_xlpm._Transpose, TRANSPOSE(_xlpm._Characters), _xlpm._Characters),    _xlpm._Result ))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KebabCase">_xlfn.LAMBDA(_xlpm.input, _xlfn.LET(    _xlpm.\\LambdaName, "KebabCase",    _xlpm.\\CommandName, "Convert To Kebab Case",    _xlpm.\\Description, "Convert text in selection to kebab case.",    _xlpm._Words, Words(_xlpm.input, 1),    _xlpm._Result, _xlfn.TEXTJOIN("-", , LOWER(_xlpm._Words)),    _xlpm._Result ))</definedName>
    <definedName name="OrdinalDate" comment="Convert any date or range of date values into a date in long format, including &quot;th&quot; suffixes.  ">_xlfn.LAMBDA(_xlpm.dates, _xlfn.LET(
   _xlpm.\\LambdaName, "OrdinalDate",
   _xlpm.\\CommandName, "Ordinal Date",
   _xlpm.\\Description, "Convert any date or range of date values into a date in long format, including ""th"" suffixes",
   TEXT(_xlpm.dates, "dddd d") &amp; OrdinalSuffix(DAY(_xlpm.dates)) &amp; TEXT(_xlpm.dates, " mmmm yyyy")
))</definedName>
    <definedName name="OrdinalNumber">_xlfn.LAMBDA(_xlpm.number, _xlfn.LET(_xlpm.\\LambdaName, "MakeOrdinalNumber", _xlpm.number &amp; OrdinalSuffix(_xlpm.number)))</definedName>
    <definedName name="OrdinalSuffix">_xlfn.LAMBDA(_xlpm.number, _xlfn.LET(
   _xlpm.\\LambdaName, "OrdinalSuffix",
   IF(
      (MOD(_xlpm.number, 100) &gt; 10) * (MOD(_xlpm.number, 100) &lt; 14),
      "th",
      _xlfn.SWITCH(MOD(_xlpm.number, 10), 1, "st", 2, "nd", 3, "rd", "th")
   )
))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  <definedName name="ShowFormulas">_xlfn.LAMBDA(_xlpm.Reference, _xlfn.LET(
   _xlpm.\\LambdaName, "ShowFormulas",
   _xlpm.\\CommandName, "Show Formulas",
   _xlpm.c, _xlpm.Reference,
   _xlpm.f, _xlfn.TOCOL(ADDRESS(ROW(_xlpm.c), COLUMN(_xlpm.c), 4) &amp; ": " &amp; _xlfn.FORMULATEXT(_xlpm.c), 3),
   _xlpm.r, _xlfn.DROP(_xlfn.REDUCE({""}, _xlpm.f, _xlfn.LAMBDA(_xlpm.s,_xlpm.x, _xlfn.VSTACK(_xlpm.s, _xlfn.TEXTSPLIT(_xlpm.x, , "
")))), 1),
   _xlpm.r
))</definedName>
    <definedName name="SnakeCase">_xlfn.LAMBDA(_xlpm.input, _xlfn.LET(
   _xlpm.\\LambdaName, "SnakeCase",
   _xlpm._Words, Words(_xlpm.input, 1),
   _xlpm._Result, _xlfn.TEXTJOIN("_", , LOWER(_xlpm._Words)),
   _xlpm._Result
))</definedName>
    <definedName name="Words">_xlfn.LAMBDA(_xlpm.text,_xlop.spill_down, _xlfn.LET(    _xlpm.\\LambdaName, "Words",    _xlpm._Words, _xlfn.TEXTSPLIT(_xlpm.text, " "),    _xlpm._Transpose, IF(_xlfn.ISOMITTED(_xlpm.spill_down), FALSE, _xlpm.spill_down),    _xlpm._Result, IF(_xlpm._Transpose, TRANSPOSE(_xlpm._Words), _xlpm._Words),    _xlpm._Result 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6" l="1" a="1"/>
  <c r="V4" i="6" s="1"/>
  <c r="Q5" i="6" a="1"/>
  <c r="Q5" i="6" s="1"/>
  <c r="Q6" i="6" a="1"/>
  <c r="Q6" i="6" s="1"/>
  <c r="Q7" i="6" a="1"/>
  <c r="Q7" i="6" s="1"/>
  <c r="Q8" i="6" a="1"/>
  <c r="Q8" i="6" s="1"/>
  <c r="Q9" i="6" a="1"/>
  <c r="Q9" i="6" s="1"/>
  <c r="Q10" i="6" a="1"/>
  <c r="Q10" i="6" s="1"/>
  <c r="Q11" i="6" a="1"/>
  <c r="Q11" i="6" s="1"/>
  <c r="Q12" i="6" a="1"/>
  <c r="Q12" i="6" s="1"/>
  <c r="Q13" i="6" a="1"/>
  <c r="Q13" i="6" s="1"/>
  <c r="Q14" i="6" a="1"/>
  <c r="Q14" i="6" s="1"/>
  <c r="Q15" i="6" a="1"/>
  <c r="Q15" i="6" s="1"/>
  <c r="Q4" i="6" a="1"/>
  <c r="Q4" i="6" s="1"/>
  <c r="O4" i="6" a="1"/>
  <c r="O4" i="6" s="1"/>
  <c r="N4" i="6" a="1"/>
  <c r="N4" i="6" s="1"/>
  <c r="K7" i="4" l="1" a="1"/>
  <c r="K7" i="4" s="1"/>
  <c r="M7" i="4" s="1" a="1"/>
  <c r="M7" i="4" s="1"/>
  <c r="H7" i="4" a="1"/>
  <c r="H7" i="4" s="1"/>
  <c r="C10" i="4"/>
  <c r="C9" i="4"/>
  <c r="C8" i="4"/>
  <c r="I7" i="4" a="1"/>
  <c r="I7" i="4" s="1"/>
  <c r="F7" i="4" a="1"/>
  <c r="F7" i="4" s="1"/>
  <c r="E7" i="4" a="1"/>
  <c r="E7" i="4" s="1"/>
  <c r="C7" i="4"/>
  <c r="B7" i="4" a="1"/>
  <c r="B7" i="4" s="1"/>
  <c r="O10" i="4" a="1"/>
  <c r="O13" i="4" a="1"/>
  <c r="O8" i="4" a="1"/>
  <c r="O11" i="4" a="1"/>
  <c r="O7" i="4" a="1"/>
  <c r="O13" i="4" l="1"/>
  <c r="O11" i="4"/>
  <c r="O10" i="4"/>
  <c r="O8" i="4"/>
  <c r="O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<sst xmlns="http://schemas.openxmlformats.org/spreadsheetml/2006/main" count="182" uniqueCount="57">
  <si>
    <t>Number</t>
  </si>
  <si>
    <t>st</t>
  </si>
  <si>
    <t>nd</t>
  </si>
  <si>
    <t>rd</t>
  </si>
  <si>
    <t>th</t>
  </si>
  <si>
    <t>Short Dates</t>
  </si>
  <si>
    <t>Catch 11 - 13</t>
  </si>
  <si>
    <t>All Nos.</t>
  </si>
  <si>
    <t>Correct Suffix</t>
  </si>
  <si>
    <t>Ordinal Number</t>
  </si>
  <si>
    <t>Ordinal Suffix</t>
  </si>
  <si>
    <t>Ordinal Date</t>
  </si>
  <si>
    <t>Denis Robot</t>
  </si>
  <si>
    <t>Lambda Formula</t>
  </si>
  <si>
    <t>Ordinal Suffixes in English</t>
  </si>
  <si>
    <t>Convert numbers to text including the ordinal suffixes "th", "st", "nd" and "rd"</t>
  </si>
  <si>
    <t>Convert dates into long format text including the ordinal suffixes "th", "st", "nd" and "rd"</t>
  </si>
  <si>
    <t>Formulas</t>
  </si>
  <si>
    <t>Show Formulas</t>
  </si>
  <si>
    <t>Utilities</t>
  </si>
  <si>
    <t>Display the text of all formulas found in a selected range of cells</t>
  </si>
  <si>
    <t>To Do</t>
  </si>
  <si>
    <t>improve show formulas</t>
  </si>
  <si>
    <t>other countries ordinals</t>
  </si>
  <si>
    <t>ordinals with superscript (VBA)</t>
  </si>
  <si>
    <t>Ordinal indicator - Wikipedia</t>
  </si>
  <si>
    <t>How to write a Macro to modify and superscript numbers - Microsoft Community</t>
  </si>
  <si>
    <t>Snake Case</t>
  </si>
  <si>
    <t>Display text in snake case: all lower case, with spaces replaced with underscores</t>
  </si>
  <si>
    <t>Kebab Case</t>
  </si>
  <si>
    <t>Display text in kabob case: all lower case, with spaces replaced with hyphens (this is a rename of kabob case, from the Text Robot command collection)</t>
  </si>
  <si>
    <t>Normal text here</t>
  </si>
  <si>
    <t>NORMAL TEXT HERE</t>
  </si>
  <si>
    <t>normal text here</t>
  </si>
  <si>
    <t>Normal Text Here</t>
  </si>
  <si>
    <t>UPPERCASE</t>
  </si>
  <si>
    <t>Sentence case</t>
  </si>
  <si>
    <t>lower case</t>
  </si>
  <si>
    <t>Proper Case</t>
  </si>
  <si>
    <t>camelCase</t>
  </si>
  <si>
    <t>PascalCase</t>
  </si>
  <si>
    <t>kebab-case</t>
  </si>
  <si>
    <t>snake_case</t>
  </si>
  <si>
    <t>SCREAMING_SNAKE_CASE</t>
  </si>
  <si>
    <t>SCREAMING-KEBAB-CASE</t>
  </si>
  <si>
    <t>normalTextHere</t>
  </si>
  <si>
    <t>NormalTextHere</t>
  </si>
  <si>
    <t>normal-text-here</t>
  </si>
  <si>
    <t>normal_text_here</t>
  </si>
  <si>
    <t>Words</t>
  </si>
  <si>
    <t>split by words and list by words that works on arrays</t>
  </si>
  <si>
    <t>Naming convention (programming) - Wikipedia</t>
  </si>
  <si>
    <t>Normal text 👪 here</t>
  </si>
  <si>
    <t>Character</t>
  </si>
  <si>
    <t>Change Case</t>
  </si>
  <si>
    <t>Display text (starting from any case) in one of the chosen cases</t>
  </si>
  <si>
    <t>Breaks text into chunks of n characters. Treats multi-character emojis as single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</si>
</sst>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u val="singleAccounting"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2" tint="-0.49998474074526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2" fillId="2" borderId="1" xfId="1" applyAlignment="1">
      <alignment horizontal="center"/>
    </xf>
    <xf numFmtId="0" fontId="0" fillId="0" borderId="0" xfId="0" applyAlignment="1">
      <alignment horizontal="center"/>
    </xf>
    <xf numFmtId="49" fontId="5" fillId="0" borderId="0" xfId="0" quotePrefix="1" applyNumberFormat="1" applyFont="1" applyAlignment="1">
      <alignment horizontal="center" wrapText="1"/>
    </xf>
    <xf numFmtId="14" fontId="2" fillId="2" borderId="1" xfId="1" applyNumberFormat="1" applyAlignment="1">
      <alignment horizontal="center"/>
    </xf>
    <xf numFmtId="0" fontId="6" fillId="0" borderId="0" xfId="0" applyFont="1" applyAlignment="1">
      <alignment horizontal="center" wrapText="1"/>
    </xf>
    <xf numFmtId="49" fontId="6" fillId="0" borderId="0" xfId="0" quotePrefix="1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" fillId="0" borderId="0" xfId="0" applyFont="1"/>
    <xf numFmtId="0" fontId="10" fillId="0" borderId="2" xfId="0" applyFont="1" applyBorder="1"/>
    <xf numFmtId="0" fontId="7" fillId="0" borderId="0" xfId="0" applyFont="1"/>
    <xf numFmtId="0" fontId="10" fillId="0" borderId="0" xfId="0" applyFont="1"/>
    <xf numFmtId="0" fontId="0" fillId="0" borderId="0" xfId="0" quotePrefix="1" applyAlignment="1">
      <alignment wrapText="1"/>
    </xf>
    <xf numFmtId="0" fontId="4" fillId="0" borderId="0" xfId="3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AA035F18-80BB-46FF-BF98-684666BCA41C}"/>
    <cellStyle name="Input" xfId="1" builtinId="20" customBuiltin="1"/>
    <cellStyle name="Normal" xfId="0" builtinId="0"/>
  </cellStyles>
  <dxfs count="5"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</dxfs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nswers.microsoft.com/en-us/msoffice/forum/all/how-to-write-a-macro-to-modify-and-superscript/4e314ec8-9cbd-41b3-a24f-45bfb3919d3b" TargetMode="External"/><Relationship Id="rId1" Type="http://schemas.openxmlformats.org/officeDocument/2006/relationships/hyperlink" Target="https://en.wikipedia.org/wiki/Ordinal_indic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aming_convention_(programming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ECE6-BF56-4000-86E1-CABE04FD5F19}">
  <sheetPr codeName="Sheet3"/>
  <dimension ref="A1:D31"/>
  <sheetViews>
    <sheetView showGridLines="0" topLeftCell="A15" workbookViewId="0">
      <selection activeCell="D36" sqref="D36"/>
    </sheetView>
  </sheetViews>
  <sheetFormatPr defaultRowHeight="14.5" x14ac:dyDescent="0.35"/>
  <cols>
    <col min="1" max="1" width="2.7265625" customWidth="1"/>
    <col min="2" max="2" width="27.7265625" customWidth="1"/>
    <col min="3" max="3" width="17" customWidth="1"/>
    <col min="4" max="4" width="135.7265625" bestFit="1" customWidth="1"/>
  </cols>
  <sheetData>
    <row r="1" spans="1:4" ht="21" x14ac:dyDescent="0.5">
      <c r="A1" s="14" t="s">
        <v>12</v>
      </c>
      <c r="B1" s="2"/>
      <c r="C1" s="2"/>
      <c r="D1" s="15"/>
    </row>
    <row r="2" spans="1:4" x14ac:dyDescent="0.35">
      <c r="A2" s="16"/>
      <c r="B2" s="2"/>
      <c r="C2" s="2"/>
      <c r="D2" s="15"/>
    </row>
    <row r="3" spans="1:4" ht="18.5" x14ac:dyDescent="0.45">
      <c r="A3" s="17"/>
      <c r="B3" s="17" t="s">
        <v>14</v>
      </c>
      <c r="C3" s="17"/>
      <c r="D3" s="17"/>
    </row>
    <row r="4" spans="1:4" x14ac:dyDescent="0.35">
      <c r="A4" s="16"/>
      <c r="B4" s="2"/>
      <c r="C4" s="2"/>
      <c r="D4" s="15"/>
    </row>
    <row r="5" spans="1:4" x14ac:dyDescent="0.35">
      <c r="A5" s="16"/>
      <c r="B5" s="2" t="s">
        <v>10</v>
      </c>
      <c r="C5" s="18" t="s">
        <v>13</v>
      </c>
      <c r="D5" s="15"/>
    </row>
    <row r="6" spans="1:4" x14ac:dyDescent="0.35">
      <c r="B6" s="2" t="s">
        <v>9</v>
      </c>
      <c r="C6" s="18" t="s">
        <v>13</v>
      </c>
      <c r="D6" s="15" t="s">
        <v>15</v>
      </c>
    </row>
    <row r="7" spans="1:4" x14ac:dyDescent="0.35">
      <c r="B7" s="2" t="s">
        <v>11</v>
      </c>
      <c r="C7" s="18" t="s">
        <v>13</v>
      </c>
      <c r="D7" s="15" t="s">
        <v>16</v>
      </c>
    </row>
    <row r="15" spans="1:4" ht="18.5" x14ac:dyDescent="0.45">
      <c r="B15" s="17" t="s">
        <v>19</v>
      </c>
      <c r="C15" s="17"/>
      <c r="D15" s="17"/>
    </row>
    <row r="17" spans="2:4" x14ac:dyDescent="0.35">
      <c r="B17" s="2" t="s">
        <v>18</v>
      </c>
      <c r="C17" s="18" t="s">
        <v>13</v>
      </c>
      <c r="D17" s="15" t="s">
        <v>20</v>
      </c>
    </row>
    <row r="18" spans="2:4" x14ac:dyDescent="0.35">
      <c r="B18" s="2" t="s">
        <v>29</v>
      </c>
      <c r="C18" s="18" t="s">
        <v>13</v>
      </c>
      <c r="D18" s="15" t="s">
        <v>30</v>
      </c>
    </row>
    <row r="19" spans="2:4" x14ac:dyDescent="0.35">
      <c r="B19" s="2" t="s">
        <v>27</v>
      </c>
      <c r="C19" s="18" t="s">
        <v>13</v>
      </c>
      <c r="D19" s="15" t="s">
        <v>28</v>
      </c>
    </row>
    <row r="20" spans="2:4" x14ac:dyDescent="0.35">
      <c r="B20" s="2" t="s">
        <v>53</v>
      </c>
      <c r="C20" s="18" t="s">
        <v>13</v>
      </c>
      <c r="D20" s="15" t="s">
        <v>56</v>
      </c>
    </row>
    <row r="22" spans="2:4" ht="18.5" x14ac:dyDescent="0.45">
      <c r="B22" s="17" t="s">
        <v>21</v>
      </c>
      <c r="C22" s="17"/>
      <c r="D22" s="17"/>
    </row>
    <row r="24" spans="2:4" x14ac:dyDescent="0.35">
      <c r="B24" t="s">
        <v>22</v>
      </c>
    </row>
    <row r="25" spans="2:4" x14ac:dyDescent="0.35">
      <c r="B25" t="s">
        <v>23</v>
      </c>
      <c r="C25" s="21" t="s">
        <v>25</v>
      </c>
    </row>
    <row r="26" spans="2:4" x14ac:dyDescent="0.35">
      <c r="B26" t="s">
        <v>24</v>
      </c>
      <c r="C26" s="21" t="s">
        <v>26</v>
      </c>
    </row>
    <row r="28" spans="2:4" x14ac:dyDescent="0.35">
      <c r="B28" t="s">
        <v>50</v>
      </c>
    </row>
    <row r="31" spans="2:4" x14ac:dyDescent="0.35">
      <c r="B31" s="2" t="s">
        <v>54</v>
      </c>
      <c r="C31" s="18" t="s">
        <v>13</v>
      </c>
      <c r="D31" s="15" t="s">
        <v>55</v>
      </c>
    </row>
  </sheetData>
  <conditionalFormatting sqref="A3:D3">
    <cfRule type="expression" dxfId="4" priority="3">
      <formula>OFFSET(A3,0,1)&lt;&gt;""</formula>
    </cfRule>
  </conditionalFormatting>
  <conditionalFormatting sqref="B15:D15">
    <cfRule type="expression" dxfId="3" priority="2">
      <formula>OFFSET(B15,0,1)&lt;&gt;""</formula>
    </cfRule>
  </conditionalFormatting>
  <conditionalFormatting sqref="B22:D22">
    <cfRule type="expression" dxfId="2" priority="1">
      <formula>OFFSET(B22,0,1)&lt;&gt;""</formula>
    </cfRule>
  </conditionalFormatting>
  <hyperlinks>
    <hyperlink ref="C25" r:id="rId1" display="https://en.wikipedia.org/wiki/Ordinal_indicator" xr:uid="{199B77BB-9896-4B0A-A57A-4F35A39F7BF8}"/>
    <hyperlink ref="C26" r:id="rId2" display="https://answers.microsoft.com/en-us/msoffice/forum/all/how-to-write-a-macro-to-modify-and-superscript/4e314ec8-9cbd-41b3-a24f-45bfb3919d3b" xr:uid="{8F3A85EF-337D-45A0-BB19-D5ABF2E7D5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F20A-5155-42AE-831D-E29CD903E064}">
  <sheetPr codeName="Sheet2"/>
  <dimension ref="A1:T37"/>
  <sheetViews>
    <sheetView showGridLines="0" workbookViewId="0">
      <selection sqref="A1:A3"/>
    </sheetView>
  </sheetViews>
  <sheetFormatPr defaultRowHeight="14.5" x14ac:dyDescent="0.35"/>
  <cols>
    <col min="1" max="1" width="2.7265625" customWidth="1"/>
    <col min="2" max="2" width="9.1796875" style="7"/>
    <col min="3" max="3" width="7.81640625" style="12" bestFit="1" customWidth="1"/>
    <col min="4" max="4" width="4.7265625" style="12" customWidth="1"/>
    <col min="5" max="5" width="7.7265625" style="12" customWidth="1"/>
    <col min="6" max="6" width="7" style="12" customWidth="1"/>
    <col min="7" max="7" width="4.7265625" style="7" customWidth="1"/>
    <col min="8" max="8" width="9.81640625" style="7" customWidth="1"/>
    <col min="9" max="9" width="10.453125" style="7" customWidth="1"/>
    <col min="10" max="10" width="4.7265625" customWidth="1"/>
    <col min="11" max="11" width="11.54296875" style="7" bestFit="1" customWidth="1"/>
    <col min="12" max="12" width="2.7265625" customWidth="1"/>
    <col min="13" max="13" width="27.54296875" bestFit="1" customWidth="1"/>
    <col min="14" max="14" width="4.7265625" customWidth="1"/>
    <col min="15" max="15" width="53.7265625" bestFit="1" customWidth="1"/>
    <col min="16" max="17" width="26.54296875" customWidth="1"/>
    <col min="20" max="20" width="10.453125" customWidth="1"/>
  </cols>
  <sheetData>
    <row r="1" spans="1:20" ht="21" x14ac:dyDescent="0.5">
      <c r="A1" s="14" t="s">
        <v>12</v>
      </c>
    </row>
    <row r="2" spans="1:20" ht="18.5" x14ac:dyDescent="0.45">
      <c r="A2" s="19" t="s">
        <v>14</v>
      </c>
    </row>
    <row r="5" spans="1:20" s="4" customFormat="1" ht="32" x14ac:dyDescent="0.5">
      <c r="B5" s="5" t="s">
        <v>0</v>
      </c>
      <c r="C5" s="10" t="s">
        <v>8</v>
      </c>
      <c r="D5" s="10"/>
      <c r="E5" s="11" t="s">
        <v>6</v>
      </c>
      <c r="F5" s="11" t="s">
        <v>7</v>
      </c>
      <c r="G5" s="8"/>
      <c r="H5" s="5" t="s">
        <v>10</v>
      </c>
      <c r="I5" s="5" t="s">
        <v>9</v>
      </c>
      <c r="J5" s="3"/>
      <c r="K5" s="5" t="s">
        <v>5</v>
      </c>
      <c r="L5" s="3"/>
      <c r="M5" s="3" t="s">
        <v>11</v>
      </c>
      <c r="N5" s="3"/>
      <c r="O5" s="3" t="s">
        <v>17</v>
      </c>
      <c r="P5" s="3"/>
      <c r="Q5" s="3"/>
    </row>
    <row r="6" spans="1:20" s="4" customFormat="1" ht="16" x14ac:dyDescent="0.5">
      <c r="B6" s="5"/>
      <c r="C6" s="10"/>
      <c r="D6" s="10"/>
      <c r="E6" s="11"/>
      <c r="F6" s="11"/>
      <c r="G6" s="8"/>
      <c r="H6" s="5"/>
      <c r="I6" s="5"/>
      <c r="J6" s="3"/>
      <c r="K6" s="5"/>
      <c r="L6" s="3"/>
      <c r="M6" s="3"/>
      <c r="N6" s="3"/>
      <c r="P6" s="3"/>
      <c r="Q6" s="3"/>
    </row>
    <row r="7" spans="1:20" x14ac:dyDescent="0.35">
      <c r="B7" s="6" cm="1">
        <f t="array" ref="B7:B37">_xlfn.SEQUENCE(31)</f>
        <v>1</v>
      </c>
      <c r="C7" s="12" t="str">
        <f>"st"</f>
        <v>st</v>
      </c>
      <c r="E7" s="13" cm="1">
        <f t="array" ref="E7:E37">IF((MOD(_xlfn.ANCHORARRAY(B7), 100) &gt; 10) * (MOD(_xlfn.ANCHORARRAY(B7), 100) &lt; 14), "th", 0)</f>
        <v>0</v>
      </c>
      <c r="F7" s="13" t="str" cm="1">
        <f t="array" ref="F7:F37">_xlfn.SWITCH(MOD(_xlfn.ANCHORARRAY(B7), 10), 1, "st", 2, "nd", 3, "rd", "th")</f>
        <v>st</v>
      </c>
      <c r="H7" s="7" t="str" cm="1">
        <f t="array" ref="H7:H37">OrdinalSuffix(_xlfn.ANCHORARRAY(B7))</f>
        <v>st</v>
      </c>
      <c r="I7" s="7" t="str" cm="1">
        <f t="array" ref="I7:I37">OrdinalNumber(_xlfn.ANCHORARRAY(B7))</f>
        <v>1st</v>
      </c>
      <c r="K7" s="9" cm="1">
        <f t="array" ref="K7:K37">DATEVALUE("31/12/2022")+_xlfn.ANCHORARRAY(B7)</f>
        <v>44927</v>
      </c>
      <c r="M7" t="str" cm="1">
        <f t="array" ref="M7:M37">OrdinalDate(_xlfn.ANCHORARRAY(K7))</f>
        <v>Sunday 1st January 2023</v>
      </c>
      <c r="N7" s="1"/>
      <c r="O7" s="20" t="str" cm="1">
        <f t="array" aca="1" ref="O7" ca="1">ShowFormulas(E7)</f>
        <v>E7: =IF((MOD(B7#, 100) &gt; 10) * (MOD(B7#, 100) &lt; 14), "th", 0)</v>
      </c>
      <c r="T7" s="1"/>
    </row>
    <row r="8" spans="1:20" x14ac:dyDescent="0.35">
      <c r="B8" s="6">
        <v>2</v>
      </c>
      <c r="C8" s="12" t="str">
        <f>"nd"</f>
        <v>nd</v>
      </c>
      <c r="E8" s="12">
        <v>0</v>
      </c>
      <c r="F8" s="12" t="str">
        <v>nd</v>
      </c>
      <c r="H8" s="7" t="str">
        <v>nd</v>
      </c>
      <c r="I8" s="7" t="str">
        <v>2nd</v>
      </c>
      <c r="K8" s="9">
        <v>44928</v>
      </c>
      <c r="M8" t="str">
        <v>Monday 2nd January 2023</v>
      </c>
      <c r="N8" s="1"/>
      <c r="O8" s="20" t="str" cm="1">
        <f t="array" aca="1" ref="O8" ca="1">ShowFormulas(F7)</f>
        <v>F7: =SWITCH(MOD(B7#, 10), 1, "st", 2, "nd", 3, "rd", "th")</v>
      </c>
    </row>
    <row r="9" spans="1:20" x14ac:dyDescent="0.35">
      <c r="B9" s="6">
        <v>3</v>
      </c>
      <c r="C9" s="12" t="str">
        <f>"rd"</f>
        <v>rd</v>
      </c>
      <c r="E9" s="12">
        <v>0</v>
      </c>
      <c r="F9" s="12" t="str">
        <v>rd</v>
      </c>
      <c r="H9" s="7" t="str">
        <v>rd</v>
      </c>
      <c r="I9" s="7" t="str">
        <v>3rd</v>
      </c>
      <c r="K9" s="9">
        <v>44929</v>
      </c>
      <c r="M9" t="str">
        <v>Tuesday 3rd January 2023</v>
      </c>
      <c r="N9" s="1"/>
    </row>
    <row r="10" spans="1:20" x14ac:dyDescent="0.35">
      <c r="B10" s="6">
        <v>4</v>
      </c>
      <c r="C10" s="12" t="str">
        <f>"th"</f>
        <v>th</v>
      </c>
      <c r="E10" s="12">
        <v>0</v>
      </c>
      <c r="F10" s="12" t="str">
        <v>th</v>
      </c>
      <c r="H10" s="7" t="str">
        <v>th</v>
      </c>
      <c r="I10" s="7" t="str">
        <v>4th</v>
      </c>
      <c r="K10" s="9">
        <v>44930</v>
      </c>
      <c r="M10" t="str">
        <v>Wednesday 4th January 2023</v>
      </c>
      <c r="N10" s="1"/>
      <c r="O10" s="20" t="str" cm="1">
        <f t="array" aca="1" ref="O10" ca="1">ShowFormulas(H7)</f>
        <v>H7: =OrdinalSuffix(B7#)</v>
      </c>
    </row>
    <row r="11" spans="1:20" x14ac:dyDescent="0.35">
      <c r="B11" s="6">
        <v>5</v>
      </c>
      <c r="C11" s="12" t="s">
        <v>4</v>
      </c>
      <c r="E11" s="12">
        <v>0</v>
      </c>
      <c r="F11" s="12" t="str">
        <v>th</v>
      </c>
      <c r="H11" s="7" t="str">
        <v>th</v>
      </c>
      <c r="I11" s="7" t="str">
        <v>5th</v>
      </c>
      <c r="K11" s="9">
        <v>44931</v>
      </c>
      <c r="M11" t="str">
        <v>Thursday 5th January 2023</v>
      </c>
      <c r="N11" s="1"/>
      <c r="O11" s="20" t="str" cm="1">
        <f t="array" aca="1" ref="O11" ca="1">ShowFormulas(I7)</f>
        <v>I7: =OrdinalNumber(B7#)</v>
      </c>
    </row>
    <row r="12" spans="1:20" x14ac:dyDescent="0.35">
      <c r="B12" s="6">
        <v>6</v>
      </c>
      <c r="C12" s="12" t="s">
        <v>4</v>
      </c>
      <c r="E12" s="12">
        <v>0</v>
      </c>
      <c r="F12" s="12" t="str">
        <v>th</v>
      </c>
      <c r="H12" s="7" t="str">
        <v>th</v>
      </c>
      <c r="I12" s="7" t="str">
        <v>6th</v>
      </c>
      <c r="K12" s="9">
        <v>44932</v>
      </c>
      <c r="M12" t="str">
        <v>Friday 6th January 2023</v>
      </c>
      <c r="N12" s="1"/>
    </row>
    <row r="13" spans="1:20" x14ac:dyDescent="0.35">
      <c r="B13" s="6">
        <v>7</v>
      </c>
      <c r="C13" s="12" t="s">
        <v>4</v>
      </c>
      <c r="E13" s="12">
        <v>0</v>
      </c>
      <c r="F13" s="12" t="str">
        <v>th</v>
      </c>
      <c r="H13" s="7" t="str">
        <v>th</v>
      </c>
      <c r="I13" s="7" t="str">
        <v>7th</v>
      </c>
      <c r="K13" s="9">
        <v>44933</v>
      </c>
      <c r="M13" t="str">
        <v>Saturday 7th January 2023</v>
      </c>
      <c r="N13" s="1"/>
      <c r="O13" s="20" t="str" cm="1">
        <f t="array" aca="1" ref="O13" ca="1">ShowFormulas(M7)</f>
        <v>M7: =OrdinalDate(K7#)</v>
      </c>
    </row>
    <row r="14" spans="1:20" x14ac:dyDescent="0.35">
      <c r="B14" s="6">
        <v>8</v>
      </c>
      <c r="C14" s="12" t="s">
        <v>4</v>
      </c>
      <c r="E14" s="12">
        <v>0</v>
      </c>
      <c r="F14" s="12" t="str">
        <v>th</v>
      </c>
      <c r="H14" s="7" t="str">
        <v>th</v>
      </c>
      <c r="I14" s="7" t="str">
        <v>8th</v>
      </c>
      <c r="K14" s="9">
        <v>44934</v>
      </c>
      <c r="M14" t="str">
        <v>Sunday 8th January 2023</v>
      </c>
      <c r="N14" s="1"/>
    </row>
    <row r="15" spans="1:20" x14ac:dyDescent="0.35">
      <c r="B15" s="6">
        <v>9</v>
      </c>
      <c r="C15" s="12" t="s">
        <v>4</v>
      </c>
      <c r="E15" s="12">
        <v>0</v>
      </c>
      <c r="F15" s="12" t="str">
        <v>th</v>
      </c>
      <c r="H15" s="7" t="str">
        <v>th</v>
      </c>
      <c r="I15" s="7" t="str">
        <v>9th</v>
      </c>
      <c r="K15" s="9">
        <v>44935</v>
      </c>
      <c r="M15" t="str">
        <v>Monday 9th January 2023</v>
      </c>
      <c r="N15" s="1"/>
    </row>
    <row r="16" spans="1:20" x14ac:dyDescent="0.35">
      <c r="B16" s="6">
        <v>10</v>
      </c>
      <c r="C16" s="12" t="s">
        <v>4</v>
      </c>
      <c r="E16" s="12">
        <v>0</v>
      </c>
      <c r="F16" s="12" t="str">
        <v>th</v>
      </c>
      <c r="H16" s="7" t="str">
        <v>th</v>
      </c>
      <c r="I16" s="7" t="str">
        <v>10th</v>
      </c>
      <c r="K16" s="9">
        <v>44936</v>
      </c>
      <c r="M16" t="str">
        <v>Tuesday 10th January 2023</v>
      </c>
      <c r="N16" s="1"/>
    </row>
    <row r="17" spans="2:14" x14ac:dyDescent="0.35">
      <c r="B17" s="6">
        <v>11</v>
      </c>
      <c r="C17" s="12" t="s">
        <v>4</v>
      </c>
      <c r="E17" s="12" t="str">
        <v>th</v>
      </c>
      <c r="F17" s="12" t="str">
        <v>st</v>
      </c>
      <c r="H17" s="7" t="str">
        <v>th</v>
      </c>
      <c r="I17" s="7" t="str">
        <v>11th</v>
      </c>
      <c r="K17" s="9">
        <v>44937</v>
      </c>
      <c r="M17" t="str">
        <v>Wednesday 11th January 2023</v>
      </c>
      <c r="N17" s="1"/>
    </row>
    <row r="18" spans="2:14" x14ac:dyDescent="0.35">
      <c r="B18" s="6">
        <v>12</v>
      </c>
      <c r="C18" s="12" t="s">
        <v>4</v>
      </c>
      <c r="E18" s="12" t="str">
        <v>th</v>
      </c>
      <c r="F18" s="12" t="str">
        <v>nd</v>
      </c>
      <c r="H18" s="7" t="str">
        <v>th</v>
      </c>
      <c r="I18" s="7" t="str">
        <v>12th</v>
      </c>
      <c r="K18" s="9">
        <v>44938</v>
      </c>
      <c r="M18" t="str">
        <v>Thursday 12th January 2023</v>
      </c>
      <c r="N18" s="1"/>
    </row>
    <row r="19" spans="2:14" x14ac:dyDescent="0.35">
      <c r="B19" s="6">
        <v>13</v>
      </c>
      <c r="C19" s="12" t="s">
        <v>4</v>
      </c>
      <c r="E19" s="12" t="str">
        <v>th</v>
      </c>
      <c r="F19" s="12" t="str">
        <v>rd</v>
      </c>
      <c r="H19" s="7" t="str">
        <v>th</v>
      </c>
      <c r="I19" s="7" t="str">
        <v>13th</v>
      </c>
      <c r="K19" s="9">
        <v>44939</v>
      </c>
      <c r="M19" t="str">
        <v>Friday 13th January 2023</v>
      </c>
      <c r="N19" s="1"/>
    </row>
    <row r="20" spans="2:14" x14ac:dyDescent="0.35">
      <c r="B20" s="6">
        <v>14</v>
      </c>
      <c r="C20" s="12" t="s">
        <v>4</v>
      </c>
      <c r="E20" s="12">
        <v>0</v>
      </c>
      <c r="F20" s="12" t="str">
        <v>th</v>
      </c>
      <c r="H20" s="7" t="str">
        <v>th</v>
      </c>
      <c r="I20" s="7" t="str">
        <v>14th</v>
      </c>
      <c r="K20" s="9">
        <v>44940</v>
      </c>
      <c r="M20" t="str">
        <v>Saturday 14th January 2023</v>
      </c>
      <c r="N20" s="1"/>
    </row>
    <row r="21" spans="2:14" x14ac:dyDescent="0.35">
      <c r="B21" s="6">
        <v>15</v>
      </c>
      <c r="C21" s="12" t="s">
        <v>4</v>
      </c>
      <c r="E21" s="12">
        <v>0</v>
      </c>
      <c r="F21" s="12" t="str">
        <v>th</v>
      </c>
      <c r="H21" s="7" t="str">
        <v>th</v>
      </c>
      <c r="I21" s="7" t="str">
        <v>15th</v>
      </c>
      <c r="K21" s="9">
        <v>44941</v>
      </c>
      <c r="M21" t="str">
        <v>Sunday 15th January 2023</v>
      </c>
      <c r="N21" s="1"/>
    </row>
    <row r="22" spans="2:14" x14ac:dyDescent="0.35">
      <c r="B22" s="6">
        <v>16</v>
      </c>
      <c r="C22" s="12" t="s">
        <v>4</v>
      </c>
      <c r="E22" s="12">
        <v>0</v>
      </c>
      <c r="F22" s="12" t="str">
        <v>th</v>
      </c>
      <c r="H22" s="7" t="str">
        <v>th</v>
      </c>
      <c r="I22" s="7" t="str">
        <v>16th</v>
      </c>
      <c r="K22" s="9">
        <v>44942</v>
      </c>
      <c r="M22" t="str">
        <v>Monday 16th January 2023</v>
      </c>
      <c r="N22" s="1"/>
    </row>
    <row r="23" spans="2:14" x14ac:dyDescent="0.35">
      <c r="B23" s="6">
        <v>17</v>
      </c>
      <c r="C23" s="12" t="s">
        <v>4</v>
      </c>
      <c r="E23" s="12">
        <v>0</v>
      </c>
      <c r="F23" s="12" t="str">
        <v>th</v>
      </c>
      <c r="H23" s="7" t="str">
        <v>th</v>
      </c>
      <c r="I23" s="7" t="str">
        <v>17th</v>
      </c>
      <c r="K23" s="9">
        <v>44943</v>
      </c>
      <c r="M23" t="str">
        <v>Tuesday 17th January 2023</v>
      </c>
      <c r="N23" s="1"/>
    </row>
    <row r="24" spans="2:14" x14ac:dyDescent="0.35">
      <c r="B24" s="6">
        <v>18</v>
      </c>
      <c r="C24" s="12" t="s">
        <v>4</v>
      </c>
      <c r="E24" s="12">
        <v>0</v>
      </c>
      <c r="F24" s="12" t="str">
        <v>th</v>
      </c>
      <c r="H24" s="7" t="str">
        <v>th</v>
      </c>
      <c r="I24" s="7" t="str">
        <v>18th</v>
      </c>
      <c r="K24" s="9">
        <v>44944</v>
      </c>
      <c r="M24" t="str">
        <v>Wednesday 18th January 2023</v>
      </c>
      <c r="N24" s="1"/>
    </row>
    <row r="25" spans="2:14" x14ac:dyDescent="0.35">
      <c r="B25" s="6">
        <v>19</v>
      </c>
      <c r="C25" s="12" t="s">
        <v>4</v>
      </c>
      <c r="E25" s="12">
        <v>0</v>
      </c>
      <c r="F25" s="12" t="str">
        <v>th</v>
      </c>
      <c r="H25" s="7" t="str">
        <v>th</v>
      </c>
      <c r="I25" s="7" t="str">
        <v>19th</v>
      </c>
      <c r="K25" s="9">
        <v>44945</v>
      </c>
      <c r="M25" t="str">
        <v>Thursday 19th January 2023</v>
      </c>
      <c r="N25" s="1"/>
    </row>
    <row r="26" spans="2:14" x14ac:dyDescent="0.35">
      <c r="B26" s="6">
        <v>20</v>
      </c>
      <c r="C26" s="12" t="s">
        <v>4</v>
      </c>
      <c r="E26" s="12">
        <v>0</v>
      </c>
      <c r="F26" s="12" t="str">
        <v>th</v>
      </c>
      <c r="H26" s="7" t="str">
        <v>th</v>
      </c>
      <c r="I26" s="7" t="str">
        <v>20th</v>
      </c>
      <c r="K26" s="9">
        <v>44946</v>
      </c>
      <c r="M26" t="str">
        <v>Friday 20th January 2023</v>
      </c>
      <c r="N26" s="1"/>
    </row>
    <row r="27" spans="2:14" x14ac:dyDescent="0.35">
      <c r="B27" s="6">
        <v>21</v>
      </c>
      <c r="C27" s="12" t="s">
        <v>1</v>
      </c>
      <c r="E27" s="12">
        <v>0</v>
      </c>
      <c r="F27" s="12" t="str">
        <v>st</v>
      </c>
      <c r="H27" s="7" t="str">
        <v>st</v>
      </c>
      <c r="I27" s="7" t="str">
        <v>21st</v>
      </c>
      <c r="K27" s="9">
        <v>44947</v>
      </c>
      <c r="M27" t="str">
        <v>Saturday 21st January 2023</v>
      </c>
      <c r="N27" s="1"/>
    </row>
    <row r="28" spans="2:14" x14ac:dyDescent="0.35">
      <c r="B28" s="6">
        <v>22</v>
      </c>
      <c r="C28" s="12" t="s">
        <v>2</v>
      </c>
      <c r="E28" s="12">
        <v>0</v>
      </c>
      <c r="F28" s="12" t="str">
        <v>nd</v>
      </c>
      <c r="H28" s="7" t="str">
        <v>nd</v>
      </c>
      <c r="I28" s="7" t="str">
        <v>22nd</v>
      </c>
      <c r="K28" s="9">
        <v>44948</v>
      </c>
      <c r="M28" t="str">
        <v>Sunday 22nd January 2023</v>
      </c>
      <c r="N28" s="1"/>
    </row>
    <row r="29" spans="2:14" x14ac:dyDescent="0.35">
      <c r="B29" s="6">
        <v>23</v>
      </c>
      <c r="C29" s="12" t="s">
        <v>3</v>
      </c>
      <c r="E29" s="12">
        <v>0</v>
      </c>
      <c r="F29" s="12" t="str">
        <v>rd</v>
      </c>
      <c r="H29" s="7" t="str">
        <v>rd</v>
      </c>
      <c r="I29" s="7" t="str">
        <v>23rd</v>
      </c>
      <c r="K29" s="9">
        <v>44949</v>
      </c>
      <c r="M29" t="str">
        <v>Monday 23rd January 2023</v>
      </c>
      <c r="N29" s="1"/>
    </row>
    <row r="30" spans="2:14" x14ac:dyDescent="0.35">
      <c r="B30" s="6">
        <v>24</v>
      </c>
      <c r="C30" s="12" t="s">
        <v>4</v>
      </c>
      <c r="E30" s="12">
        <v>0</v>
      </c>
      <c r="F30" s="12" t="str">
        <v>th</v>
      </c>
      <c r="H30" s="7" t="str">
        <v>th</v>
      </c>
      <c r="I30" s="7" t="str">
        <v>24th</v>
      </c>
      <c r="K30" s="9">
        <v>44950</v>
      </c>
      <c r="M30" t="str">
        <v>Tuesday 24th January 2023</v>
      </c>
      <c r="N30" s="1"/>
    </row>
    <row r="31" spans="2:14" x14ac:dyDescent="0.35">
      <c r="B31" s="6">
        <v>25</v>
      </c>
      <c r="C31" s="12" t="s">
        <v>4</v>
      </c>
      <c r="E31" s="12">
        <v>0</v>
      </c>
      <c r="F31" s="12" t="str">
        <v>th</v>
      </c>
      <c r="H31" s="7" t="str">
        <v>th</v>
      </c>
      <c r="I31" s="7" t="str">
        <v>25th</v>
      </c>
      <c r="K31" s="9">
        <v>44951</v>
      </c>
      <c r="M31" t="str">
        <v>Wednesday 25th January 2023</v>
      </c>
      <c r="N31" s="1"/>
    </row>
    <row r="32" spans="2:14" x14ac:dyDescent="0.35">
      <c r="B32" s="6">
        <v>26</v>
      </c>
      <c r="C32" s="12" t="s">
        <v>4</v>
      </c>
      <c r="E32" s="12">
        <v>0</v>
      </c>
      <c r="F32" s="12" t="str">
        <v>th</v>
      </c>
      <c r="H32" s="7" t="str">
        <v>th</v>
      </c>
      <c r="I32" s="7" t="str">
        <v>26th</v>
      </c>
      <c r="K32" s="9">
        <v>44952</v>
      </c>
      <c r="M32" t="str">
        <v>Thursday 26th January 2023</v>
      </c>
      <c r="N32" s="1"/>
    </row>
    <row r="33" spans="2:14" x14ac:dyDescent="0.35">
      <c r="B33" s="6">
        <v>27</v>
      </c>
      <c r="C33" s="12" t="s">
        <v>4</v>
      </c>
      <c r="E33" s="12">
        <v>0</v>
      </c>
      <c r="F33" s="12" t="str">
        <v>th</v>
      </c>
      <c r="H33" s="7" t="str">
        <v>th</v>
      </c>
      <c r="I33" s="7" t="str">
        <v>27th</v>
      </c>
      <c r="K33" s="9">
        <v>44953</v>
      </c>
      <c r="M33" t="str">
        <v>Friday 27th January 2023</v>
      </c>
      <c r="N33" s="1"/>
    </row>
    <row r="34" spans="2:14" x14ac:dyDescent="0.35">
      <c r="B34" s="6">
        <v>28</v>
      </c>
      <c r="C34" s="12" t="s">
        <v>4</v>
      </c>
      <c r="E34" s="12">
        <v>0</v>
      </c>
      <c r="F34" s="12" t="str">
        <v>th</v>
      </c>
      <c r="H34" s="7" t="str">
        <v>th</v>
      </c>
      <c r="I34" s="7" t="str">
        <v>28th</v>
      </c>
      <c r="K34" s="9">
        <v>44954</v>
      </c>
      <c r="M34" t="str">
        <v>Saturday 28th January 2023</v>
      </c>
      <c r="N34" s="1"/>
    </row>
    <row r="35" spans="2:14" x14ac:dyDescent="0.35">
      <c r="B35" s="6">
        <v>29</v>
      </c>
      <c r="C35" s="12" t="s">
        <v>4</v>
      </c>
      <c r="E35" s="12">
        <v>0</v>
      </c>
      <c r="F35" s="12" t="str">
        <v>th</v>
      </c>
      <c r="H35" s="7" t="str">
        <v>th</v>
      </c>
      <c r="I35" s="7" t="str">
        <v>29th</v>
      </c>
      <c r="K35" s="9">
        <v>44955</v>
      </c>
      <c r="M35" t="str">
        <v>Sunday 29th January 2023</v>
      </c>
      <c r="N35" s="1"/>
    </row>
    <row r="36" spans="2:14" x14ac:dyDescent="0.35">
      <c r="B36" s="6">
        <v>30</v>
      </c>
      <c r="C36" s="12" t="s">
        <v>4</v>
      </c>
      <c r="E36" s="12">
        <v>0</v>
      </c>
      <c r="F36" s="12" t="str">
        <v>th</v>
      </c>
      <c r="H36" s="7" t="str">
        <v>th</v>
      </c>
      <c r="I36" s="7" t="str">
        <v>30th</v>
      </c>
      <c r="K36" s="9">
        <v>44956</v>
      </c>
      <c r="M36" t="str">
        <v>Monday 30th January 2023</v>
      </c>
      <c r="N36" s="1"/>
    </row>
    <row r="37" spans="2:14" x14ac:dyDescent="0.35">
      <c r="B37" s="6">
        <v>31</v>
      </c>
      <c r="C37" s="12" t="s">
        <v>1</v>
      </c>
      <c r="E37" s="12">
        <v>0</v>
      </c>
      <c r="F37" s="12" t="str">
        <v>st</v>
      </c>
      <c r="H37" s="7" t="str">
        <v>st</v>
      </c>
      <c r="I37" s="7" t="str">
        <v>31st</v>
      </c>
      <c r="K37" s="9">
        <v>44957</v>
      </c>
      <c r="M37" t="str">
        <v>Tuesday 31st January 2023</v>
      </c>
      <c r="N37" s="1"/>
    </row>
  </sheetData>
  <conditionalFormatting sqref="A2">
    <cfRule type="expression" dxfId="1" priority="1">
      <formula>OFFSET(A2,0,1)&lt;&gt;""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5B8C-C24B-4DA3-ADC1-F211CBF4BEF6}">
  <dimension ref="A1:V21"/>
  <sheetViews>
    <sheetView showGridLines="0" tabSelected="1" workbookViewId="0">
      <selection activeCell="C4" sqref="C4"/>
    </sheetView>
  </sheetViews>
  <sheetFormatPr defaultRowHeight="14.5" x14ac:dyDescent="0.35"/>
  <cols>
    <col min="2" max="2" width="2.7265625" customWidth="1"/>
    <col min="3" max="3" width="15.54296875" style="7" bestFit="1" customWidth="1"/>
    <col min="4" max="4" width="4.7265625" style="7" customWidth="1"/>
    <col min="5" max="5" width="18.26953125" style="7" bestFit="1" customWidth="1"/>
    <col min="6" max="6" width="15.26953125" style="7" bestFit="1" customWidth="1"/>
    <col min="7" max="7" width="16.1796875" style="7" bestFit="1" customWidth="1"/>
    <col min="8" max="8" width="4.7265625" style="7" customWidth="1"/>
    <col min="9" max="9" width="15" style="7" bestFit="1" customWidth="1"/>
    <col min="10" max="10" width="15.26953125" style="7" bestFit="1" customWidth="1"/>
    <col min="11" max="11" width="15.81640625" style="7" bestFit="1" customWidth="1"/>
    <col min="12" max="12" width="16.1796875" style="7" bestFit="1" customWidth="1"/>
    <col min="13" max="13" width="4.7265625" style="7" customWidth="1"/>
    <col min="14" max="14" width="24.54296875" style="7" bestFit="1" customWidth="1"/>
    <col min="15" max="15" width="25.1796875" style="7" bestFit="1" customWidth="1"/>
    <col min="16" max="16" width="2.7265625" customWidth="1"/>
    <col min="17" max="17" width="7.7265625" bestFit="1" customWidth="1"/>
    <col min="18" max="18" width="4" bestFit="1" customWidth="1"/>
    <col min="19" max="19" width="4.81640625" bestFit="1" customWidth="1"/>
    <col min="20" max="20" width="4.6328125" bestFit="1" customWidth="1"/>
    <col min="21" max="21" width="4.6328125" customWidth="1"/>
  </cols>
  <sheetData>
    <row r="1" spans="1:22" ht="21" x14ac:dyDescent="0.5">
      <c r="A1" s="14" t="s">
        <v>12</v>
      </c>
    </row>
    <row r="2" spans="1:22" ht="18.5" x14ac:dyDescent="0.45">
      <c r="A2" s="19" t="s">
        <v>19</v>
      </c>
    </row>
    <row r="3" spans="1:22" x14ac:dyDescent="0.35">
      <c r="C3" s="22" t="s">
        <v>36</v>
      </c>
      <c r="D3" s="22"/>
      <c r="E3" s="22" t="s">
        <v>35</v>
      </c>
      <c r="F3" s="22" t="s">
        <v>37</v>
      </c>
      <c r="G3" s="22" t="s">
        <v>38</v>
      </c>
      <c r="H3" s="22"/>
      <c r="I3" s="22" t="s">
        <v>39</v>
      </c>
      <c r="J3" s="22" t="s">
        <v>40</v>
      </c>
      <c r="K3" s="22" t="s">
        <v>41</v>
      </c>
      <c r="L3" s="22" t="s">
        <v>42</v>
      </c>
      <c r="M3" s="22"/>
      <c r="N3" s="22" t="s">
        <v>44</v>
      </c>
      <c r="O3" s="22" t="s">
        <v>43</v>
      </c>
      <c r="Q3" s="22" t="s">
        <v>49</v>
      </c>
      <c r="V3" s="2" t="s">
        <v>53</v>
      </c>
    </row>
    <row r="4" spans="1:22" x14ac:dyDescent="0.35">
      <c r="C4" s="7" t="s">
        <v>52</v>
      </c>
      <c r="E4" s="7" t="s">
        <v>32</v>
      </c>
      <c r="F4" s="7" t="s">
        <v>33</v>
      </c>
      <c r="G4" s="7" t="s">
        <v>34</v>
      </c>
      <c r="I4" s="7" t="s">
        <v>45</v>
      </c>
      <c r="J4" s="7" t="s">
        <v>46</v>
      </c>
      <c r="K4" s="7" t="s">
        <v>47</v>
      </c>
      <c r="L4" s="7" t="s">
        <v>48</v>
      </c>
      <c r="N4" s="7" t="str" cm="1">
        <f t="array" ref="N4:N15">UPPER(K4:K15)</f>
        <v>NORMAL-TEXT-HERE</v>
      </c>
      <c r="O4" s="7" t="str" cm="1">
        <f t="array" ref="O4:O15">UPPER(L4:L15)</f>
        <v>NORMAL_TEXT_HERE</v>
      </c>
      <c r="Q4" t="str" cm="1">
        <f t="array" ref="Q4:T4">Words(C4)</f>
        <v>Normal</v>
      </c>
      <c r="R4" t="str">
        <v>text</v>
      </c>
      <c r="S4" t="str">
        <v>👪</v>
      </c>
      <c r="T4" t="str">
        <v>here</v>
      </c>
      <c r="V4" t="str" cm="1">
        <f t="array" ref="V4:V21">Character(C4, 1)</f>
        <v>N</v>
      </c>
    </row>
    <row r="5" spans="1:22" x14ac:dyDescent="0.35">
      <c r="C5" s="7" t="s">
        <v>31</v>
      </c>
      <c r="E5" s="7" t="s">
        <v>32</v>
      </c>
      <c r="F5" s="7" t="s">
        <v>33</v>
      </c>
      <c r="G5" s="7" t="s">
        <v>34</v>
      </c>
      <c r="I5" s="7" t="s">
        <v>45</v>
      </c>
      <c r="J5" s="7" t="s">
        <v>46</v>
      </c>
      <c r="K5" s="7" t="s">
        <v>47</v>
      </c>
      <c r="L5" s="7" t="s">
        <v>48</v>
      </c>
      <c r="N5" s="7" t="str">
        <v>NORMAL-TEXT-HERE</v>
      </c>
      <c r="O5" s="7" t="str">
        <v>NORMAL_TEXT_HERE</v>
      </c>
      <c r="Q5" t="str" cm="1">
        <f t="array" ref="Q5:S5">Words(C5)</f>
        <v>Normal</v>
      </c>
      <c r="R5" t="str">
        <v>text</v>
      </c>
      <c r="S5" t="str">
        <v>here</v>
      </c>
      <c r="V5" t="str">
        <v>o</v>
      </c>
    </row>
    <row r="6" spans="1:22" x14ac:dyDescent="0.35">
      <c r="C6" s="7" t="s">
        <v>31</v>
      </c>
      <c r="E6" s="7" t="s">
        <v>32</v>
      </c>
      <c r="F6" s="7" t="s">
        <v>33</v>
      </c>
      <c r="G6" s="7" t="s">
        <v>34</v>
      </c>
      <c r="I6" s="7" t="s">
        <v>45</v>
      </c>
      <c r="J6" s="7" t="s">
        <v>46</v>
      </c>
      <c r="K6" s="7" t="s">
        <v>47</v>
      </c>
      <c r="L6" s="7" t="s">
        <v>48</v>
      </c>
      <c r="N6" s="7" t="str">
        <v>NORMAL-TEXT-HERE</v>
      </c>
      <c r="O6" s="7" t="str">
        <v>NORMAL_TEXT_HERE</v>
      </c>
      <c r="Q6" t="str" cm="1">
        <f t="array" ref="Q6:S6">Words(C6)</f>
        <v>Normal</v>
      </c>
      <c r="R6" t="str">
        <v>text</v>
      </c>
      <c r="S6" t="str">
        <v>here</v>
      </c>
      <c r="V6" t="str">
        <v>r</v>
      </c>
    </row>
    <row r="7" spans="1:22" x14ac:dyDescent="0.35">
      <c r="C7" s="7" t="s">
        <v>31</v>
      </c>
      <c r="E7" s="7" t="s">
        <v>32</v>
      </c>
      <c r="F7" s="7" t="s">
        <v>33</v>
      </c>
      <c r="G7" s="7" t="s">
        <v>34</v>
      </c>
      <c r="I7" s="7" t="s">
        <v>45</v>
      </c>
      <c r="J7" s="7" t="s">
        <v>46</v>
      </c>
      <c r="K7" s="7" t="s">
        <v>47</v>
      </c>
      <c r="L7" s="7" t="s">
        <v>48</v>
      </c>
      <c r="N7" s="7" t="str">
        <v>NORMAL-TEXT-HERE</v>
      </c>
      <c r="O7" s="7" t="str">
        <v>NORMAL_TEXT_HERE</v>
      </c>
      <c r="Q7" t="str" cm="1">
        <f t="array" ref="Q7:S7">Words(C7)</f>
        <v>Normal</v>
      </c>
      <c r="R7" t="str">
        <v>text</v>
      </c>
      <c r="S7" t="str">
        <v>here</v>
      </c>
      <c r="V7" t="str">
        <v>m</v>
      </c>
    </row>
    <row r="8" spans="1:22" x14ac:dyDescent="0.35">
      <c r="C8" s="7" t="s">
        <v>31</v>
      </c>
      <c r="E8" s="7" t="s">
        <v>32</v>
      </c>
      <c r="F8" s="7" t="s">
        <v>33</v>
      </c>
      <c r="G8" s="7" t="s">
        <v>34</v>
      </c>
      <c r="I8" s="7" t="s">
        <v>45</v>
      </c>
      <c r="J8" s="7" t="s">
        <v>46</v>
      </c>
      <c r="K8" s="7" t="s">
        <v>47</v>
      </c>
      <c r="L8" s="7" t="s">
        <v>48</v>
      </c>
      <c r="N8" s="7" t="str">
        <v>NORMAL-TEXT-HERE</v>
      </c>
      <c r="O8" s="7" t="str">
        <v>NORMAL_TEXT_HERE</v>
      </c>
      <c r="Q8" t="str" cm="1">
        <f t="array" ref="Q8:S8">Words(C8)</f>
        <v>Normal</v>
      </c>
      <c r="R8" t="str">
        <v>text</v>
      </c>
      <c r="S8" t="str">
        <v>here</v>
      </c>
      <c r="V8" t="str">
        <v>a</v>
      </c>
    </row>
    <row r="9" spans="1:22" x14ac:dyDescent="0.35">
      <c r="C9" s="7" t="s">
        <v>31</v>
      </c>
      <c r="E9" s="7" t="s">
        <v>32</v>
      </c>
      <c r="F9" s="7" t="s">
        <v>33</v>
      </c>
      <c r="G9" s="7" t="s">
        <v>34</v>
      </c>
      <c r="I9" s="7" t="s">
        <v>45</v>
      </c>
      <c r="J9" s="7" t="s">
        <v>46</v>
      </c>
      <c r="K9" s="7" t="s">
        <v>47</v>
      </c>
      <c r="L9" s="7" t="s">
        <v>48</v>
      </c>
      <c r="N9" s="7" t="str">
        <v>NORMAL-TEXT-HERE</v>
      </c>
      <c r="O9" s="7" t="str">
        <v>NORMAL_TEXT_HERE</v>
      </c>
      <c r="Q9" t="str" cm="1">
        <f t="array" ref="Q9:S9">Words(C9)</f>
        <v>Normal</v>
      </c>
      <c r="R9" t="str">
        <v>text</v>
      </c>
      <c r="S9" t="str">
        <v>here</v>
      </c>
      <c r="V9" t="str">
        <v>l</v>
      </c>
    </row>
    <row r="10" spans="1:22" x14ac:dyDescent="0.35">
      <c r="C10" s="7" t="s">
        <v>31</v>
      </c>
      <c r="E10" s="7" t="s">
        <v>32</v>
      </c>
      <c r="F10" s="7" t="s">
        <v>33</v>
      </c>
      <c r="G10" s="7" t="s">
        <v>34</v>
      </c>
      <c r="I10" s="7" t="s">
        <v>45</v>
      </c>
      <c r="J10" s="7" t="s">
        <v>46</v>
      </c>
      <c r="K10" s="7" t="s">
        <v>47</v>
      </c>
      <c r="L10" s="7" t="s">
        <v>48</v>
      </c>
      <c r="N10" s="7" t="str">
        <v>NORMAL-TEXT-HERE</v>
      </c>
      <c r="O10" s="7" t="str">
        <v>NORMAL_TEXT_HERE</v>
      </c>
      <c r="Q10" t="str" cm="1">
        <f t="array" ref="Q10:S10">Words(C10)</f>
        <v>Normal</v>
      </c>
      <c r="R10" t="str">
        <v>text</v>
      </c>
      <c r="S10" t="str">
        <v>here</v>
      </c>
      <c r="V10" t="str">
        <v xml:space="preserve"> </v>
      </c>
    </row>
    <row r="11" spans="1:22" x14ac:dyDescent="0.35">
      <c r="C11" s="7" t="s">
        <v>31</v>
      </c>
      <c r="E11" s="7" t="s">
        <v>32</v>
      </c>
      <c r="F11" s="7" t="s">
        <v>33</v>
      </c>
      <c r="G11" s="7" t="s">
        <v>34</v>
      </c>
      <c r="I11" s="7" t="s">
        <v>45</v>
      </c>
      <c r="J11" s="7" t="s">
        <v>46</v>
      </c>
      <c r="K11" s="7" t="s">
        <v>47</v>
      </c>
      <c r="L11" s="7" t="s">
        <v>48</v>
      </c>
      <c r="N11" s="7" t="str">
        <v>NORMAL-TEXT-HERE</v>
      </c>
      <c r="O11" s="7" t="str">
        <v>NORMAL_TEXT_HERE</v>
      </c>
      <c r="Q11" t="str" cm="1">
        <f t="array" ref="Q11:S11">Words(C11)</f>
        <v>Normal</v>
      </c>
      <c r="R11" t="str">
        <v>text</v>
      </c>
      <c r="S11" t="str">
        <v>here</v>
      </c>
      <c r="V11" t="str">
        <v>t</v>
      </c>
    </row>
    <row r="12" spans="1:22" x14ac:dyDescent="0.35">
      <c r="C12" s="7" t="s">
        <v>31</v>
      </c>
      <c r="E12" s="7" t="s">
        <v>32</v>
      </c>
      <c r="F12" s="7" t="s">
        <v>33</v>
      </c>
      <c r="G12" s="7" t="s">
        <v>34</v>
      </c>
      <c r="I12" s="7" t="s">
        <v>45</v>
      </c>
      <c r="J12" s="7" t="s">
        <v>46</v>
      </c>
      <c r="K12" s="7" t="s">
        <v>47</v>
      </c>
      <c r="L12" s="7" t="s">
        <v>48</v>
      </c>
      <c r="N12" s="7" t="str">
        <v>NORMAL-TEXT-HERE</v>
      </c>
      <c r="O12" s="7" t="str">
        <v>NORMAL_TEXT_HERE</v>
      </c>
      <c r="Q12" t="str" cm="1">
        <f t="array" ref="Q12:S12">Words(C12)</f>
        <v>Normal</v>
      </c>
      <c r="R12" t="str">
        <v>text</v>
      </c>
      <c r="S12" t="str">
        <v>here</v>
      </c>
      <c r="V12" t="str">
        <v>e</v>
      </c>
    </row>
    <row r="13" spans="1:22" x14ac:dyDescent="0.35">
      <c r="C13" s="7" t="s">
        <v>31</v>
      </c>
      <c r="E13" s="7" t="s">
        <v>32</v>
      </c>
      <c r="F13" s="7" t="s">
        <v>33</v>
      </c>
      <c r="G13" s="7" t="s">
        <v>34</v>
      </c>
      <c r="I13" s="7" t="s">
        <v>45</v>
      </c>
      <c r="J13" s="7" t="s">
        <v>46</v>
      </c>
      <c r="K13" s="7" t="s">
        <v>47</v>
      </c>
      <c r="L13" s="7" t="s">
        <v>48</v>
      </c>
      <c r="N13" s="7" t="str">
        <v>NORMAL-TEXT-HERE</v>
      </c>
      <c r="O13" s="7" t="str">
        <v>NORMAL_TEXT_HERE</v>
      </c>
      <c r="Q13" t="str" cm="1">
        <f t="array" ref="Q13:S13">Words(C13)</f>
        <v>Normal</v>
      </c>
      <c r="R13" t="str">
        <v>text</v>
      </c>
      <c r="S13" t="str">
        <v>here</v>
      </c>
      <c r="V13" t="str">
        <v>x</v>
      </c>
    </row>
    <row r="14" spans="1:22" x14ac:dyDescent="0.35">
      <c r="C14" s="7" t="s">
        <v>31</v>
      </c>
      <c r="E14" s="7" t="s">
        <v>32</v>
      </c>
      <c r="F14" s="7" t="s">
        <v>33</v>
      </c>
      <c r="G14" s="7" t="s">
        <v>34</v>
      </c>
      <c r="I14" s="7" t="s">
        <v>45</v>
      </c>
      <c r="J14" s="7" t="s">
        <v>46</v>
      </c>
      <c r="K14" s="7" t="s">
        <v>47</v>
      </c>
      <c r="L14" s="7" t="s">
        <v>48</v>
      </c>
      <c r="N14" s="7" t="str">
        <v>NORMAL-TEXT-HERE</v>
      </c>
      <c r="O14" s="7" t="str">
        <v>NORMAL_TEXT_HERE</v>
      </c>
      <c r="Q14" t="str" cm="1">
        <f t="array" ref="Q14:S14">Words(C14)</f>
        <v>Normal</v>
      </c>
      <c r="R14" t="str">
        <v>text</v>
      </c>
      <c r="S14" t="str">
        <v>here</v>
      </c>
      <c r="V14" t="str">
        <v>t</v>
      </c>
    </row>
    <row r="15" spans="1:22" x14ac:dyDescent="0.35">
      <c r="C15" s="7" t="s">
        <v>31</v>
      </c>
      <c r="E15" s="7" t="s">
        <v>32</v>
      </c>
      <c r="F15" s="7" t="s">
        <v>33</v>
      </c>
      <c r="G15" s="7" t="s">
        <v>34</v>
      </c>
      <c r="I15" s="7" t="s">
        <v>45</v>
      </c>
      <c r="J15" s="7" t="s">
        <v>46</v>
      </c>
      <c r="K15" s="7" t="s">
        <v>47</v>
      </c>
      <c r="L15" s="7" t="s">
        <v>48</v>
      </c>
      <c r="N15" s="7" t="str">
        <v>NORMAL-TEXT-HERE</v>
      </c>
      <c r="O15" s="7" t="str">
        <v>NORMAL_TEXT_HERE</v>
      </c>
      <c r="Q15" t="str" cm="1">
        <f t="array" ref="Q15:S15">Words(C15)</f>
        <v>Normal</v>
      </c>
      <c r="R15" t="str">
        <v>text</v>
      </c>
      <c r="S15" t="str">
        <v>here</v>
      </c>
      <c r="V15" t="str">
        <v xml:space="preserve"> </v>
      </c>
    </row>
    <row r="16" spans="1:22" x14ac:dyDescent="0.35">
      <c r="V16" t="str">
        <v>👪</v>
      </c>
    </row>
    <row r="17" spans="3:22" x14ac:dyDescent="0.35">
      <c r="V17" t="str">
        <v xml:space="preserve"> </v>
      </c>
    </row>
    <row r="18" spans="3:22" x14ac:dyDescent="0.35">
      <c r="V18" t="str">
        <v>h</v>
      </c>
    </row>
    <row r="19" spans="3:22" x14ac:dyDescent="0.35">
      <c r="V19" t="str">
        <v>e</v>
      </c>
    </row>
    <row r="20" spans="3:22" x14ac:dyDescent="0.35">
      <c r="C20" s="21" t="s">
        <v>51</v>
      </c>
      <c r="V20" t="str">
        <v>r</v>
      </c>
    </row>
    <row r="21" spans="3:22" x14ac:dyDescent="0.35">
      <c r="V21" t="str">
        <v>e</v>
      </c>
    </row>
  </sheetData>
  <conditionalFormatting sqref="A2">
    <cfRule type="expression" dxfId="0" priority="1">
      <formula>OFFSET(A2,0,1)&lt;&gt;""</formula>
    </cfRule>
  </conditionalFormatting>
  <hyperlinks>
    <hyperlink ref="C20" r:id="rId1" location="Examples_of_multiple-word_identifier_formats" xr:uid="{610CDC3F-424D-448B-ADC8-AB7A26B8D9F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<?xml version="1.0" encoding="utf-8"?>
<JSON><![CDATA[
{
  "Commands": [
    {
      "Name": "Convert To Kebab Case",
      "Description": "Convert text in selection to kebab case (lower case, separated by hyphens)",
      "Type": "ExcelFormulaCommand",
      "UserContextFilter": "ExcelActiveCellValueIsText",
      "Formula": "=KebabCase([[ActiveCell::Formula]])",
      "Tags": [
        "Convert",
        "kabob",
        "kebab"
      ],
      "FormulaDependencies": [
        "KebabCase.lambda",
        "Words.lambda"
      ]
    },
    {
      "Name": "Convert to Snake Case",
      "Description": "Convert the text in selection to Snake Case (lower case, separated by underscores)",
      "Type": "ExcelFormulaCommand",
      "Formula": "=SnakeCase([[ActiveCell::Formula]])",
      "FormulaDependencies": [
        "SnakeCase.lambda",
        "Words.lambda"
      ]
    },
    {
      "Name": "List Characters",
      "Description": "Spill characters of text in active cell to below.",
      "Type": "ExcelFormulaCommand",
      "UserContextFilter": "ExcelActiveCellValueIsText",
      "LaunchCodes": [
        "c"
      ],
      "Formula": "=Characters([[ActiveCell::Formula]], TRUE)",
      "Tags": [
        "Split"
      ],
      "FormulaDependencies": [
        "Characters.lambda"
      ]
    },
    {
      "Name": "List Characters (new)",
      "Description": "Apply Character lambda function to active cell.",
      "Type": "ExcelFormulaCommand",
      "LaunchCodes": [
        "lc"
      ],
      "Formula": "=Character([[ActiveCell::Formula]], 1)",
      "FormulaDependencies": [
        "Character.lambda"
      ],
      "UpdateFormulaDependencies": true
    },
    {
      "Name": "Ordinal Date",
      "Description": "Convert dates into long format including the ordinal suffixes \"th\", \"st\", \"nd\" and \"rd\"",
      "Type": "ExcelFormulaCommand",
      "Formula": "=OrdinalDate([[ActiveCell::Formula]])",
      "FormulaDependencies": [
        "OrdinalDate.lambda",
        "GetOrdinalSuffix.lambda"
      ]
    },
    {
      "Name": "Ordinal Number",
      "Description": "Convert selected numbers to text including the ordinal suffixes \"th\", \"st\", \"nd\" and \"rd\"",
      "Type": "ExcelFormulaCommand",
      "Formula": "=OrdinalNumber([[ActiveCell::Formula]])",
      "FormulaDependencies": [
        "OrdinalNumber.lambda",
        "OrdinalSuffix.lambda"
      ]
    },
    {
      "Name": "Ordinal Suffix",
      "Description": "Get the Ordinal suffixes (st, nd, rd, th) for selected numbers",
      "Type": "ExcelFormulaCommand",
      "Formula": "=OrdinalSuffix([[Selection]])"
    },
    {
      "Name": "Show Formulas",
      "Description": "Apply ShowFormulas lambda function to active cell.",
      "Type": "ExcelFormulaCommand",
      "Formula": "=ShowFormulas([[ActiveCell::Formula]])",
      "FormulaDependencies": [
        "ShowFormulas.lambda"
      ]
    }
  ],
  "Texts": [
    {
      "Name": "Character.lambda",
      "Description": "Definition of Character lambda function.",
      "Type": "ExcelNameText",
      "ContentType": "ExcelFormula",
      "Location": "Character"
    },
    {
      "Name": "GetOrdinalSuffix.lambda",
      "Description": "Definition of GetOrdinalSuffix lambda function.",
      "Type": "ExcelNameText",
      "ContentType": "ExcelFormula",
      "Location": "GetOrdinalSuffix"
    },
    {
      "Name": "KabobCase.lambda",
      "Description": "Definition of KabobCase lambda function.",
      "Type": "ExcelNameText",
      "ContentType": "ExcelFormula",
      "Location": "KabobCase"
    },
    {
      "Name": "KebabCase.lambda",
      "Description": "Definition of KebabCase lambda function.",
      "Type": "ExcelNameText",
      "ContentType": "ExcelFormula",
      "Location": "KebabCase"
    },
    {
      "Name": "OrdinalDate.lambda",
      "Description": "Definition of OrdinalDate lambda function.",
      "Type": "ExcelNameText",
      "ContentType": "ExcelFormula",
      "Location": "OrdinalDate"
    },
    {
      "Name": "OrdinalNumber.lambda",
      "Description": "Definition of OrdinalNumber lambda function.",
      "Type": "ExcelNameText",
      "ContentType": "ExcelFormula",
      "Location": "OrdinalNumber"
    },
    {
      "Name": "OrdinalSuffix.lambda",
      "Description": "Definition of OrdinalSuffix lambda function.",
      "Type": "ExcelNameText",
      "ContentType": "ExcelFormula",
      "Location": "OrdinalSuffix"
    },
    {
      "Name": "ShowFormulas.lambda",
      "Description": "Definition of ShowFormulas lambda function.",
      "Type": "ExcelNameText",
      "ContentType": "ExcelFormula",
      "Location": "ShowFormulas"
    },
    {
      "Name": "SnakeCase.lambda",
      "Description": "Definition of SnakeCase lambda function.",
      "Type": "ExcelNameText",
      "ContentType": "ExcelFormula",
      "Location": "SnakeCase"
    },
    {
      "Name": "Words.lambda",
      "Description": "Definition of Words lambda function.",
      "Type": "ExcelNameText",
      "ContentType": "ExcelFormula",
      "Location": "Words"
    }
  ]
}
]]></JSON>
</file>

<file path=customXml/item2.xml><?xml version="1.0" encoding="utf-8"?>
<Text><![CDATA[
]]></Text>
</file>

<file path=customXml/item3.xml><?xml version="1.0" encoding="utf-8"?>
<Text><![CDATA[
/*Convert text in selection to kabob case.  */
KabobCase = LAMBDA(input, LET(
   \\LambdaName, "KabobCase",
   \\CommandName, "Convert To Kabob Case",
   \\Description, "Convert text in selection to kabob case.",
   _Words, Words(input, 1),
   _Result, TEXTJOIN("-", , LOWER(_Words)),
   _Result
));
]]></Text>
</file>

<file path=customXml/item4.xml><?xml version="1.0" encoding="utf-8"?>
<Text><![CDATA[
KebabCase = LAMBDA(input, LET(    \\LambdaName, "KebabCase",    \\CommandName, "Convert To Kebab Case",    \\Description, "Convert text in selection to kebab case.",    _Words, Words(input, 1),    _Result, TEXTJOIN("-", , LOWER(_Words)),    _Result ));
]]></Text>
</file>

<file path=customXml/item5.xml><?xml version="1.0" encoding="utf-8"?>
<Text><![CDATA[
]]></Text>
</file>

<file path=customXml/item6.xml><?xml version="1.0" encoding="utf-8"?>
<Text><![CDATA[
]]></Text>
</file>

<file path=customXml/item7.xml><?xml version="1.0" encoding="utf-8"?>
<Text><![CDATA[
]]></Text>
</file>

<file path=customXml/item8.xml><?xml version="1.0" encoding="utf-8"?>
<Text><![CDATA[
]]></Text>
</file>

<file path=customXml/item9.xml><?xml version="1.0" encoding="utf-8"?>
<Text><![CDATA[
]]></Text>
</file>

<file path=customXml/item10.xml><?xml version="1.0" encoding="utf-8"?>
<Text><![CDATA[
]]></Text>
</file>

<file path=customXml/item11.xml><?xml version="1.0" encoding="utf-8"?>
<Text><![CDATA[
Character = LAMBDA(text,[spill_down],[chunk_size], LET(    \\LambdaName, "Characters",    _ChunkSize, IF(chunk_size = 0, 1, chunk_size),    _Pattern, "(\X{" & _ChunkSize & "})",    _Characters, REGEXEXTRACT(text, _Pattern, 1),    _Transpose, IF(ISOMITTED(spill_down), FALSE, spill_down),    _Result, IF(_Transpose, TRANSPOSE(_Characters), _Characters),    _Result ));
]]></Text>
</file>

<file path=customXml/item12.xml><?xml version="1.0" encoding="utf-8"?>
<writeIndexDataTable>
  <xs:schema xmlns="" xmlns:xs="http://www.w3.org/2001/XMLSchema" xmlns:msdata="urn:schemas-microsoft-com:xml-msdata" id="writeIndexDataTable">
    <xs:element name="writeIndexDataTable" msdata:IsDataSet="true" msdata:UseCurrentLocale="true">
      <xs:complexType>
        <xs:choice minOccurs="0" maxOccurs="unbounded">
          <xs:element name="CustomXmlPartIndex">
            <xs:complexType>
              <xs:sequence>
                <xs:element name="CollectionName" type="xs:string"/>
                <xs:element name="ItemName" type="xs:string"/>
                <xs:element name="ItemDescription" type="xs:string" minOccurs="0"/>
                <xs:element name="ItemType" type="xs:string" minOccurs="0"/>
                <xs:element name="ItemSubtype" type="xs:string" minOccurs="0"/>
                <xs:element name="LastUpdated" type="xs:string" minOccurs="0"/>
                <xs:element name="CustomXmlPartGuid" type="xs:string" minOccurs="0"/>
              </xs:sequence>
            </xs:complexType>
          </xs:element>
        </xs:choice>
      </xs:complexType>
      <xs:unique name="Constraint1" msdata:PrimaryKey="true">
        <xs:selector xpath=".//CustomXmlPartIndex"/>
        <xs:field xpath="CollectionName"/>
        <xs:field xpath="ItemName"/>
      </xs:unique>
    </xs:element>
  </xs:schema>
  <CustomXmlPartIndex>
    <CollectionName>HotkeyCommands</CollectionName>
    <ItemName>HotkeyCommands</ItemName>
    <ItemDescription/>
    <ItemType>JSON</ItemType>
    <LastUpdated>30/11/2025 16:18:39 +00:00</LastUpdated>
    <CustomXmlPartGuid>{18D47C46-5C71-44C2-8D64-685C9B079157}</CustomXmlPartGuid>
  </CustomXmlPartIndex>
  <CustomXmlPartIndex>
    <CollectionName>HotkeyCommands</CollectionName>
    <ItemName>GetOrdinalSuffix.lambda</ItemName>
    <ItemDescription/>
    <ItemType>Text</ItemType>
    <ItemSubtype/>
    <LastUpdated>30/11/2025 16:18:39 +00:00</LastUpdated>
    <CustomXmlPartGuid>{BA11B9AC-8B80-4CDB-BEC8-2669EAF2E677}</CustomXmlPartGuid>
  </CustomXmlPartIndex>
  <CustomXmlPartIndex>
    <CollectionName>HotkeyCommands</CollectionName>
    <ItemName>KabobCase.lambda</ItemName>
    <ItemDescription/>
    <ItemType>Text</ItemType>
    <ItemSubtype/>
    <LastUpdated>30/11/2025 16:18:39 +00:00</LastUpdated>
    <CustomXmlPartGuid>{8E2C576C-7EE4-40C1-A4E6-8504050F5188}</CustomXmlPartGuid>
  </CustomXmlPartIndex>
  <CustomXmlPartIndex>
    <CollectionName>HotkeyCommands</CollectionName>
    <ItemName>KebabCase.lambda</ItemName>
    <ItemDescription/>
    <ItemType>Text</ItemType>
    <ItemSubtype/>
    <LastUpdated>30/11/2025 16:18:39 +00:00</LastUpdated>
    <CustomXmlPartGuid>{C2B109EF-2AEA-4EC7-9321-6331C03882CA}</CustomXmlPartGuid>
  </CustomXmlPartIndex>
  <CustomXmlPartIndex>
    <CollectionName>HotkeyCommands</CollectionName>
    <ItemName>OrdinalDate.lambda</ItemName>
    <ItemDescription/>
    <ItemType>Text</ItemType>
    <ItemSubtype/>
    <LastUpdated>30/11/2025 16:18:39 +00:00</LastUpdated>
    <CustomXmlPartGuid>{EC50715C-2A8A-43B7-957F-394934784F5D}</CustomXmlPartGuid>
  </CustomXmlPartIndex>
  <CustomXmlPartIndex>
    <CollectionName>HotkeyCommands</CollectionName>
    <ItemName>OrdinalNumber.lambda</ItemName>
    <ItemDescription/>
    <ItemType>Text</ItemType>
    <ItemSubtype/>
    <LastUpdated>30/11/2025 16:18:39 +00:00</LastUpdated>
    <CustomXmlPartGuid>{3E4F7C14-E333-4BD7-BB7A-477F60ECB301}</CustomXmlPartGuid>
  </CustomXmlPartIndex>
  <CustomXmlPartIndex>
    <CollectionName>HotkeyCommands</CollectionName>
    <ItemName>OrdinalSuffix.lambda</ItemName>
    <ItemDescription/>
    <ItemType>Text</ItemType>
    <ItemSubtype/>
    <LastUpdated>30/11/2025 16:18:39 +00:00</LastUpdated>
    <CustomXmlPartGuid>{3B604E68-8E53-4413-9373-68FBA01B697E}</CustomXmlPartGuid>
  </CustomXmlPartIndex>
  <CustomXmlPartIndex>
    <CollectionName>HotkeyCommands</CollectionName>
    <ItemName>ShowFormulas.lambda</ItemName>
    <ItemDescription/>
    <ItemType>Text</ItemType>
    <ItemSubtype/>
    <LastUpdated>30/11/2025 16:18:39 +00:00</LastUpdated>
    <CustomXmlPartGuid>{3C962305-DEFE-40EB-9879-09ADC9383B84}</CustomXmlPartGuid>
  </CustomXmlPartIndex>
  <CustomXmlPartIndex>
    <CollectionName>HotkeyCommands</CollectionName>
    <ItemName>SnakeCase.lambda</ItemName>
    <ItemDescription/>
    <ItemType>Text</ItemType>
    <ItemSubtype/>
    <LastUpdated>30/11/2025 16:18:39 +00:00</LastUpdated>
    <CustomXmlPartGuid>{03C149FF-6410-4AEF-A9B8-72C1F8DCE667}</CustomXmlPartGuid>
  </CustomXmlPartIndex>
  <CustomXmlPartIndex>
    <CollectionName>HotkeyCommands</CollectionName>
    <ItemName>Words.lambda</ItemName>
    <ItemDescription/>
    <ItemType>Text</ItemType>
    <ItemSubtype/>
    <LastUpdated>30/11/2025 16:18:39 +00:00</LastUpdated>
    <CustomXmlPartGuid>{5A6DCA70-B33B-4035-A038-ACF5F7C64BD4}</CustomXmlPartGuid>
  </CustomXmlPartIndex>
  <CustomXmlPartIndex>
    <CollectionName>HotkeyCommands</CollectionName>
    <ItemName>Character.lambda</ItemName>
    <ItemDescription/>
    <ItemType>Text</ItemType>
    <ItemSubtype/>
    <LastUpdated>30/11/2025 16:18:39 +00:00</LastUpdated>
    <CustomXmlPartGuid>{238D5F00-68A7-4B9E-BE39-1016F225D832}</CustomXmlPartGuid>
  </CustomXmlPartIndex>
</writeIndexDataTable>
</file>

<file path=customXml/itemProps1.xml><?xml version="1.0" encoding="utf-8"?>
<ds:datastoreItem xmlns:ds="http://schemas.openxmlformats.org/officeDocument/2006/customXml" ds:itemID="{18D47C46-5C71-44C2-8D64-685C9B079157}">
  <ds:schemaRefs/>
</ds:datastoreItem>
</file>

<file path=customXml/itemProps2.xml><?xml version="1.0" encoding="utf-8"?>
<ds:datastoreItem xmlns:ds="http://schemas.openxmlformats.org/officeDocument/2006/customXml" ds:itemID="{BA11B9AC-8B80-4CDB-BEC8-2669EAF2E677}">
  <ds:schemaRefs/>
</ds:datastoreItem>
</file>

<file path=customXml/itemProps3.xml><?xml version="1.0" encoding="utf-8"?>
<ds:datastoreItem xmlns:ds="http://schemas.openxmlformats.org/officeDocument/2006/customXml" ds:itemID="{8E2C576C-7EE4-40C1-A4E6-8504050F5188}">
  <ds:schemaRefs/>
</ds:datastoreItem>
</file>

<file path=customXml/itemProps4.xml><?xml version="1.0" encoding="utf-8"?>
<ds:datastoreItem xmlns:ds="http://schemas.openxmlformats.org/officeDocument/2006/customXml" ds:itemID="{C2B109EF-2AEA-4EC7-9321-6331C03882CA}">
  <ds:schemaRefs/>
</ds:datastoreItem>
</file>

<file path=customXml/itemProps5.xml><?xml version="1.0" encoding="utf-8"?>
<ds:datastoreItem xmlns:ds="http://schemas.openxmlformats.org/officeDocument/2006/customXml" ds:itemID="{EC50715C-2A8A-43B7-957F-394934784F5D}">
  <ds:schemaRefs/>
</ds:datastoreItem>
</file>

<file path=customXml/itemProps6.xml><?xml version="1.0" encoding="utf-8"?>
<ds:datastoreItem xmlns:ds="http://schemas.openxmlformats.org/officeDocument/2006/customXml" ds:itemID="{3E4F7C14-E333-4BD7-BB7A-477F60ECB301}">
  <ds:schemaRefs/>
</ds:datastoreItem>
</file>

<file path=customXml/itemProps7.xml><?xml version="1.0" encoding="utf-8"?>
<ds:datastoreItem xmlns:ds="http://schemas.openxmlformats.org/officeDocument/2006/customXml" ds:itemID="{3B604E68-8E53-4413-9373-68FBA01B697E}">
  <ds:schemaRefs/>
</ds:datastoreItem>
</file>

<file path=customXml/itemProps8.xml><?xml version="1.0" encoding="utf-8"?>
<ds:datastoreItem xmlns:ds="http://schemas.openxmlformats.org/officeDocument/2006/customXml" ds:itemID="{3C962305-DEFE-40EB-9879-09ADC9383B84}">
  <ds:schemaRefs/>
</ds:datastoreItem>
</file>

<file path=customXml/itemProps9.xml><?xml version="1.0" encoding="utf-8"?>
<ds:datastoreItem xmlns:ds="http://schemas.openxmlformats.org/officeDocument/2006/customXml" ds:itemID="{03C149FF-6410-4AEF-A9B8-72C1F8DCE667}">
  <ds:schemaRefs/>
</ds:datastoreItem>
</file>

<file path=customXml/itemProps10.xml><?xml version="1.0" encoding="utf-8"?>
<ds:datastoreItem xmlns:ds="http://schemas.openxmlformats.org/officeDocument/2006/customXml" ds:itemID="{5A6DCA70-B33B-4035-A038-ACF5F7C64BD4}">
  <ds:schemaRefs/>
</ds:datastoreItem>
</file>

<file path=customXml/itemProps11.xml><?xml version="1.0" encoding="utf-8"?>
<ds:datastoreItem xmlns:ds="http://schemas.openxmlformats.org/officeDocument/2006/customXml" ds:itemID="{238D5F00-68A7-4B9E-BE39-1016F225D832}">
  <ds:schemaRefs/>
</ds:datastoreItem>
</file>

<file path=customXml/itemProps12.xml><?xml version="1.0" encoding="utf-8"?>
<ds:datastoreItem xmlns:ds="http://schemas.openxmlformats.org/officeDocument/2006/customXml" ds:itemID="{B13C36B9-B1FE-468B-B8F9-952060D686F4}">
  <ds:schemaRefs>
    <ds:schemaRef ds:uri=""/>
    <ds:schemaRef ds:uri="http://www.w3.org/2001/XMLSchema"/>
    <ds:schemaRef ds:uri="urn:schemas-microsoft-com:xml-ms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Commands</vt:lpstr>
      <vt:lpstr>Ordinals-EN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Roberts</dc:creator>
  <cp:lastModifiedBy>Denis Roberts</cp:lastModifiedBy>
  <dcterms:created xsi:type="dcterms:W3CDTF">2025-06-19T09:31:26Z</dcterms:created>
  <dcterms:modified xsi:type="dcterms:W3CDTF">2025-11-30T16:19:32Z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A Tools">
    <vt:lpwstr>{B13C36B9-B1FE-468B-B8F9-952060D686F4}</vt:lpwstr>
  </property>
  <property fmtid="{D5CDD505-2E9C-101B-9397-08002B2CF9AE}" pid="3" name="OA Tools Last Modified">
    <vt:lpwstr>2025-11-30 16:18:39 UTC</vt:lpwstr>
  </property>
</Properties>
</file>